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 Laptop\Desktop\VS code\project1\"/>
    </mc:Choice>
  </mc:AlternateContent>
  <xr:revisionPtr revIDLastSave="0" documentId="13_ncr:1_{4C9CD646-E7AF-4C4E-9046-44767AE03CD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既有" sheetId="1" r:id="rId1"/>
    <sheet name="自己操作-股票" sheetId="2" r:id="rId2"/>
    <sheet name="自己操作-基金" sheetId="3" r:id="rId3"/>
    <sheet name="儀錶板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2" l="1"/>
  <c r="N5" i="2"/>
  <c r="N4" i="2"/>
  <c r="O3" i="2"/>
  <c r="N3" i="2"/>
  <c r="I16" i="2"/>
  <c r="I14" i="2"/>
  <c r="I13" i="2"/>
  <c r="I12" i="2"/>
  <c r="I4" i="2"/>
  <c r="I5" i="2"/>
  <c r="I3" i="2"/>
  <c r="H16" i="2"/>
  <c r="H14" i="2"/>
  <c r="H13" i="2"/>
  <c r="H12" i="2"/>
  <c r="H4" i="2"/>
  <c r="H5" i="2"/>
  <c r="H6" i="2"/>
  <c r="I6" i="2" s="1"/>
  <c r="H7" i="2"/>
  <c r="I7" i="2" s="1"/>
  <c r="H8" i="2"/>
  <c r="I8" i="2" s="1"/>
  <c r="H9" i="2"/>
  <c r="I9" i="2" s="1"/>
  <c r="H10" i="2"/>
  <c r="I10" i="2" s="1"/>
  <c r="H3" i="2"/>
  <c r="O4" i="2" l="1"/>
</calcChain>
</file>

<file path=xl/sharedStrings.xml><?xml version="1.0" encoding="utf-8"?>
<sst xmlns="http://schemas.openxmlformats.org/spreadsheetml/2006/main" count="92" uniqueCount="36">
  <si>
    <t>日期</t>
    <phoneticPr fontId="1" type="noConversion"/>
  </si>
  <si>
    <t>0050</t>
    <phoneticPr fontId="1" type="noConversion"/>
  </si>
  <si>
    <t>009816</t>
    <phoneticPr fontId="1" type="noConversion"/>
  </si>
  <si>
    <t>華通</t>
  </si>
  <si>
    <r>
      <rPr>
        <b/>
        <sz val="11"/>
        <color theme="1"/>
        <rFont val="微軟正黑體"/>
        <family val="2"/>
        <charset val="136"/>
      </rPr>
      <t>日期</t>
    </r>
    <phoneticPr fontId="1" type="noConversion"/>
  </si>
  <si>
    <r>
      <rPr>
        <b/>
        <sz val="11"/>
        <color theme="1"/>
        <rFont val="微軟正黑體"/>
        <family val="2"/>
        <charset val="136"/>
      </rPr>
      <t>公司編號</t>
    </r>
    <phoneticPr fontId="1" type="noConversion"/>
  </si>
  <si>
    <r>
      <rPr>
        <b/>
        <sz val="11"/>
        <color theme="1"/>
        <rFont val="微軟正黑體"/>
        <family val="2"/>
        <charset val="136"/>
      </rPr>
      <t>公司</t>
    </r>
    <phoneticPr fontId="1" type="noConversion"/>
  </si>
  <si>
    <r>
      <rPr>
        <b/>
        <sz val="11"/>
        <color theme="1"/>
        <rFont val="微軟正黑體"/>
        <family val="2"/>
        <charset val="136"/>
      </rPr>
      <t>股數</t>
    </r>
    <phoneticPr fontId="1" type="noConversion"/>
  </si>
  <si>
    <r>
      <rPr>
        <b/>
        <sz val="11"/>
        <color theme="1"/>
        <rFont val="微軟正黑體"/>
        <family val="2"/>
        <charset val="136"/>
      </rPr>
      <t>成交價</t>
    </r>
    <phoneticPr fontId="1" type="noConversion"/>
  </si>
  <si>
    <r>
      <rPr>
        <b/>
        <sz val="11"/>
        <color theme="1"/>
        <rFont val="微軟正黑體"/>
        <family val="2"/>
        <charset val="136"/>
      </rPr>
      <t>手續費</t>
    </r>
    <phoneticPr fontId="1" type="noConversion"/>
  </si>
  <si>
    <r>
      <rPr>
        <b/>
        <sz val="11"/>
        <color theme="1"/>
        <rFont val="微軟正黑體"/>
        <family val="2"/>
        <charset val="136"/>
      </rPr>
      <t>總成本</t>
    </r>
    <phoneticPr fontId="1" type="noConversion"/>
  </si>
  <si>
    <r>
      <rPr>
        <b/>
        <sz val="11"/>
        <color theme="1"/>
        <rFont val="微軟正黑體"/>
        <family val="2"/>
        <charset val="136"/>
      </rPr>
      <t>調整單價</t>
    </r>
    <phoneticPr fontId="1" type="noConversion"/>
  </si>
  <si>
    <r>
      <rPr>
        <sz val="11"/>
        <color theme="1"/>
        <rFont val="微軟正黑體"/>
        <family val="2"/>
        <charset val="136"/>
      </rPr>
      <t>華通</t>
    </r>
    <phoneticPr fontId="1" type="noConversion"/>
  </si>
  <si>
    <r>
      <rPr>
        <sz val="11"/>
        <color theme="1"/>
        <rFont val="微軟正黑體"/>
        <family val="2"/>
        <charset val="136"/>
      </rPr>
      <t>國巨</t>
    </r>
    <r>
      <rPr>
        <sz val="11"/>
        <color theme="1"/>
        <rFont val="Calibri"/>
        <family val="2"/>
      </rPr>
      <t>*</t>
    </r>
    <phoneticPr fontId="1" type="noConversion"/>
  </si>
  <si>
    <r>
      <rPr>
        <sz val="11"/>
        <color theme="1"/>
        <rFont val="微軟正黑體"/>
        <family val="2"/>
        <charset val="136"/>
      </rPr>
      <t>台積電</t>
    </r>
    <phoneticPr fontId="1" type="noConversion"/>
  </si>
  <si>
    <r>
      <rPr>
        <sz val="11"/>
        <color theme="1"/>
        <rFont val="微軟正黑體"/>
        <family val="2"/>
        <charset val="136"/>
      </rPr>
      <t>玉山金</t>
    </r>
    <phoneticPr fontId="1" type="noConversion"/>
  </si>
  <si>
    <r>
      <rPr>
        <sz val="11"/>
        <color theme="1"/>
        <rFont val="微軟正黑體"/>
        <family val="2"/>
        <charset val="136"/>
      </rPr>
      <t>欣興</t>
    </r>
    <phoneticPr fontId="1" type="noConversion"/>
  </si>
  <si>
    <r>
      <rPr>
        <sz val="11"/>
        <color theme="1"/>
        <rFont val="微軟正黑體"/>
        <family val="2"/>
        <charset val="136"/>
      </rPr>
      <t>群創</t>
    </r>
    <phoneticPr fontId="1" type="noConversion"/>
  </si>
  <si>
    <r>
      <rPr>
        <sz val="11"/>
        <color theme="1"/>
        <rFont val="微軟正黑體"/>
        <family val="2"/>
        <charset val="136"/>
      </rPr>
      <t>昇達科</t>
    </r>
    <phoneticPr fontId="1" type="noConversion"/>
  </si>
  <si>
    <r>
      <rPr>
        <sz val="11"/>
        <color theme="1"/>
        <rFont val="微軟正黑體"/>
        <family val="2"/>
        <charset val="136"/>
      </rPr>
      <t>位速</t>
    </r>
    <phoneticPr fontId="1" type="noConversion"/>
  </si>
  <si>
    <r>
      <rPr>
        <sz val="11"/>
        <color theme="1"/>
        <rFont val="微軟正黑體"/>
        <family val="2"/>
        <charset val="136"/>
      </rPr>
      <t>永彰</t>
    </r>
    <phoneticPr fontId="1" type="noConversion"/>
  </si>
  <si>
    <r>
      <rPr>
        <sz val="11"/>
        <color theme="1"/>
        <rFont val="微軟正黑體"/>
        <family val="2"/>
        <charset val="136"/>
      </rPr>
      <t>臻鼎</t>
    </r>
    <r>
      <rPr>
        <sz val="11"/>
        <color theme="1"/>
        <rFont val="Calibri"/>
        <family val="2"/>
      </rPr>
      <t>-KY</t>
    </r>
    <phoneticPr fontId="1" type="noConversion"/>
  </si>
  <si>
    <r>
      <rPr>
        <sz val="11"/>
        <color theme="1"/>
        <rFont val="微軟正黑體"/>
        <family val="2"/>
        <charset val="136"/>
      </rPr>
      <t>均華</t>
    </r>
    <phoneticPr fontId="1" type="noConversion"/>
  </si>
  <si>
    <r>
      <rPr>
        <sz val="11"/>
        <color theme="1"/>
        <rFont val="Microsoft JhengHei"/>
        <family val="2"/>
      </rPr>
      <t>元大台灣</t>
    </r>
    <r>
      <rPr>
        <sz val="11"/>
        <color theme="1"/>
        <rFont val="Calibri"/>
        <family val="2"/>
      </rPr>
      <t>50</t>
    </r>
    <phoneticPr fontId="1" type="noConversion"/>
  </si>
  <si>
    <r>
      <rPr>
        <sz val="11"/>
        <color theme="1"/>
        <rFont val="Microsoft JhengHei"/>
        <family val="2"/>
      </rPr>
      <t>凱基台灣</t>
    </r>
    <r>
      <rPr>
        <sz val="11"/>
        <color theme="1"/>
        <rFont val="Calibri"/>
        <family val="2"/>
      </rPr>
      <t>TOP50</t>
    </r>
    <phoneticPr fontId="1" type="noConversion"/>
  </si>
  <si>
    <r>
      <rPr>
        <sz val="11"/>
        <color theme="1"/>
        <rFont val="微軟正黑體"/>
        <family val="2"/>
        <charset val="136"/>
      </rPr>
      <t>既有的錢</t>
    </r>
    <phoneticPr fontId="1" type="noConversion"/>
  </si>
  <si>
    <r>
      <rPr>
        <sz val="11"/>
        <color theme="1"/>
        <rFont val="微軟正黑體"/>
        <family val="2"/>
        <charset val="136"/>
      </rPr>
      <t>新光</t>
    </r>
    <phoneticPr fontId="1" type="noConversion"/>
  </si>
  <si>
    <r>
      <rPr>
        <sz val="11"/>
        <color theme="1"/>
        <rFont val="微軟正黑體"/>
        <family val="2"/>
        <charset val="136"/>
      </rPr>
      <t>既有的股票</t>
    </r>
    <phoneticPr fontId="1" type="noConversion"/>
  </si>
  <si>
    <t>銀行</t>
    <phoneticPr fontId="1" type="noConversion"/>
  </si>
  <si>
    <t>金額</t>
    <phoneticPr fontId="1" type="noConversion"/>
  </si>
  <si>
    <t>成長型基金</t>
    <phoneticPr fontId="1" type="noConversion"/>
  </si>
  <si>
    <t>名稱</t>
    <phoneticPr fontId="1" type="noConversion"/>
  </si>
  <si>
    <t>買賣</t>
    <phoneticPr fontId="1" type="noConversion"/>
  </si>
  <si>
    <t>買入</t>
    <phoneticPr fontId="1" type="noConversion"/>
  </si>
  <si>
    <t>安台科</t>
    <phoneticPr fontId="1" type="noConversion"/>
  </si>
  <si>
    <t>賣出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</si>
</sst>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7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quotePrefix="1" applyFont="1" applyAlignment="1">
      <alignment vertical="center"/>
    </xf>
    <xf numFmtId="0" fontId="4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9"/>
  <sheetViews>
    <sheetView topLeftCell="A4" zoomScale="130" zoomScaleNormal="130" workbookViewId="0">
      <selection activeCell="I13" sqref="I13"/>
    </sheetView>
  </sheetViews>
  <sheetFormatPr defaultRowHeight="14.4"/>
  <cols>
    <col min="1" max="1" width="9" style="7"/>
    <col min="2" max="2" width="13.25" style="3" bestFit="1" customWidth="1"/>
    <col min="3" max="3" width="10.75" style="3" bestFit="1" customWidth="1"/>
    <col min="4" max="4" width="9.25" style="3" bestFit="1" customWidth="1"/>
    <col min="5" max="5" width="6.25" style="7" bestFit="1" customWidth="1"/>
    <col min="6" max="6" width="8.5" style="7" bestFit="1" customWidth="1"/>
    <col min="7" max="7" width="10.75" style="7" bestFit="1" customWidth="1"/>
    <col min="8" max="16384" width="9" style="7"/>
  </cols>
  <sheetData>
    <row r="3" spans="2:7">
      <c r="B3" s="9" t="s">
        <v>25</v>
      </c>
    </row>
    <row r="4" spans="2:7">
      <c r="C4" s="2" t="s">
        <v>28</v>
      </c>
      <c r="D4" s="2" t="s">
        <v>29</v>
      </c>
    </row>
    <row r="5" spans="2:7">
      <c r="C5" s="3" t="s">
        <v>26</v>
      </c>
    </row>
    <row r="10" spans="2:7">
      <c r="B10" s="9" t="s">
        <v>27</v>
      </c>
    </row>
    <row r="11" spans="2:7">
      <c r="C11" s="2" t="s">
        <v>5</v>
      </c>
      <c r="D11" s="2" t="s">
        <v>6</v>
      </c>
      <c r="E11" s="2" t="s">
        <v>7</v>
      </c>
      <c r="F11" s="2" t="s">
        <v>10</v>
      </c>
      <c r="G11" s="2" t="s">
        <v>11</v>
      </c>
    </row>
    <row r="12" spans="2:7">
      <c r="C12" s="3">
        <v>2327</v>
      </c>
      <c r="D12" s="3" t="s">
        <v>13</v>
      </c>
      <c r="E12" s="7">
        <v>2276</v>
      </c>
    </row>
    <row r="13" spans="2:7">
      <c r="C13" s="3">
        <v>2884</v>
      </c>
      <c r="D13" s="3" t="s">
        <v>15</v>
      </c>
      <c r="E13" s="7">
        <v>1067</v>
      </c>
    </row>
    <row r="14" spans="2:7">
      <c r="C14" s="3">
        <v>3481</v>
      </c>
      <c r="D14" s="3" t="s">
        <v>17</v>
      </c>
      <c r="E14" s="7">
        <v>4000</v>
      </c>
    </row>
    <row r="15" spans="2:7">
      <c r="C15" s="3">
        <v>3508</v>
      </c>
      <c r="D15" s="3" t="s">
        <v>19</v>
      </c>
      <c r="E15" s="7">
        <v>3000</v>
      </c>
    </row>
    <row r="16" spans="2:7">
      <c r="C16" s="3">
        <v>4523</v>
      </c>
      <c r="D16" s="3" t="s">
        <v>20</v>
      </c>
      <c r="E16" s="7">
        <v>1000</v>
      </c>
    </row>
    <row r="17" spans="3:4">
      <c r="C17" s="7"/>
      <c r="D17" s="7"/>
    </row>
    <row r="18" spans="3:4">
      <c r="C18" s="7"/>
      <c r="D18" s="7"/>
    </row>
    <row r="19" spans="3:4">
      <c r="C19" s="7"/>
      <c r="D19" s="7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120B-13C3-4D13-8506-4BC4CDF1833E}">
  <dimension ref="A2:O20"/>
  <sheetViews>
    <sheetView tabSelected="1" zoomScale="130" zoomScaleNormal="130" workbookViewId="0">
      <selection activeCell="G17" sqref="G17"/>
    </sheetView>
  </sheetViews>
  <sheetFormatPr defaultRowHeight="14.4"/>
  <cols>
    <col min="1" max="1" width="9.625" style="3" bestFit="1" customWidth="1"/>
    <col min="2" max="2" width="10.25" style="3" bestFit="1" customWidth="1"/>
    <col min="3" max="3" width="10.75" style="3" bestFit="1" customWidth="1"/>
    <col min="4" max="4" width="17.5" style="3" bestFit="1" customWidth="1"/>
    <col min="5" max="5" width="7" style="7" bestFit="1" customWidth="1"/>
    <col min="6" max="8" width="8.5" style="7" bestFit="1" customWidth="1"/>
    <col min="9" max="9" width="11.25" style="7" customWidth="1"/>
    <col min="10" max="10" width="9" style="7"/>
    <col min="11" max="11" width="10.75" style="3" bestFit="1" customWidth="1"/>
    <col min="12" max="12" width="17.5" style="3" bestFit="1" customWidth="1"/>
    <col min="13" max="13" width="6.25" style="7" bestFit="1" customWidth="1"/>
    <col min="14" max="14" width="8.5" style="7" bestFit="1" customWidth="1"/>
    <col min="15" max="15" width="10.75" style="7" bestFit="1" customWidth="1"/>
    <col min="16" max="16384" width="9" style="7"/>
  </cols>
  <sheetData>
    <row r="2" spans="1:15" s="3" customFormat="1">
      <c r="A2" s="1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K2" s="2" t="s">
        <v>5</v>
      </c>
      <c r="L2" s="2" t="s">
        <v>6</v>
      </c>
      <c r="M2" s="2" t="s">
        <v>7</v>
      </c>
      <c r="N2" s="2" t="s">
        <v>10</v>
      </c>
      <c r="O2" s="2" t="s">
        <v>11</v>
      </c>
    </row>
    <row r="3" spans="1:15">
      <c r="A3" s="4" t="s">
        <v>1</v>
      </c>
      <c r="B3" s="5">
        <v>46027</v>
      </c>
      <c r="C3" s="6" t="s">
        <v>1</v>
      </c>
      <c r="D3" s="6" t="s">
        <v>23</v>
      </c>
      <c r="E3" s="7">
        <v>1000</v>
      </c>
      <c r="F3" s="7">
        <v>70.7</v>
      </c>
      <c r="G3" s="7">
        <v>100</v>
      </c>
      <c r="H3" s="7">
        <f>ROUNDDOWN(E3*F3+G3,0)</f>
        <v>70800</v>
      </c>
      <c r="I3" s="7">
        <f>ROUND(H3/E3,2)</f>
        <v>70.8</v>
      </c>
      <c r="K3" s="6" t="s">
        <v>1</v>
      </c>
      <c r="L3" s="6" t="s">
        <v>23</v>
      </c>
      <c r="M3" s="7">
        <v>2001</v>
      </c>
      <c r="N3" s="7">
        <f>SUM(H3:H10)</f>
        <v>147308</v>
      </c>
      <c r="O3" s="7">
        <f>ROUND(N3/M3,2)</f>
        <v>73.62</v>
      </c>
    </row>
    <row r="4" spans="1:15">
      <c r="B4" s="5">
        <v>46058</v>
      </c>
      <c r="C4" s="6" t="s">
        <v>1</v>
      </c>
      <c r="D4" s="6" t="s">
        <v>23</v>
      </c>
      <c r="E4" s="7">
        <v>138</v>
      </c>
      <c r="F4" s="7">
        <v>72.349999999999994</v>
      </c>
      <c r="G4" s="7">
        <v>1</v>
      </c>
      <c r="H4" s="7">
        <f t="shared" ref="H4:H10" si="0">ROUNDDOWN(E4*F4+G4,0)</f>
        <v>9985</v>
      </c>
      <c r="I4" s="7">
        <f t="shared" ref="I4:I16" si="1">ROUND(H4/E4,2)</f>
        <v>72.36</v>
      </c>
      <c r="K4" s="6" t="s">
        <v>2</v>
      </c>
      <c r="L4" s="6" t="s">
        <v>24</v>
      </c>
      <c r="M4" s="7">
        <v>4000</v>
      </c>
      <c r="N4" s="7">
        <f>SUM(H12:H14)</f>
        <v>48469</v>
      </c>
      <c r="O4" s="7">
        <f>ROUND(N4/M4,2)</f>
        <v>12.12</v>
      </c>
    </row>
    <row r="5" spans="1:15">
      <c r="B5" s="5">
        <v>46064</v>
      </c>
      <c r="C5" s="6" t="s">
        <v>1</v>
      </c>
      <c r="D5" s="6" t="s">
        <v>23</v>
      </c>
      <c r="E5" s="7">
        <v>131</v>
      </c>
      <c r="F5" s="7">
        <v>76.3</v>
      </c>
      <c r="G5" s="7">
        <v>1</v>
      </c>
      <c r="H5" s="7">
        <f t="shared" si="0"/>
        <v>9996</v>
      </c>
      <c r="I5" s="7">
        <f t="shared" si="1"/>
        <v>76.31</v>
      </c>
      <c r="K5" s="3">
        <v>2313</v>
      </c>
      <c r="L5" s="3" t="s">
        <v>12</v>
      </c>
      <c r="M5" s="7">
        <v>36</v>
      </c>
      <c r="N5" s="7">
        <f>H16</f>
        <v>9793</v>
      </c>
      <c r="O5" s="7">
        <f>ROUND(N5/M5,2)</f>
        <v>272.02999999999997</v>
      </c>
    </row>
    <row r="6" spans="1:15">
      <c r="B6" s="5">
        <v>46083</v>
      </c>
      <c r="C6" s="6" t="s">
        <v>1</v>
      </c>
      <c r="D6" s="6" t="s">
        <v>23</v>
      </c>
      <c r="E6" s="7">
        <v>184</v>
      </c>
      <c r="F6" s="7">
        <v>80.650000000000006</v>
      </c>
      <c r="G6" s="7">
        <v>1</v>
      </c>
      <c r="H6" s="7">
        <f t="shared" si="0"/>
        <v>14840</v>
      </c>
      <c r="I6" s="7">
        <f t="shared" si="1"/>
        <v>80.650000000000006</v>
      </c>
      <c r="K6" s="3">
        <v>2327</v>
      </c>
      <c r="L6" s="3" t="s">
        <v>13</v>
      </c>
      <c r="M6" s="7">
        <v>1700</v>
      </c>
    </row>
    <row r="7" spans="1:15">
      <c r="B7" s="5">
        <v>46084</v>
      </c>
      <c r="C7" s="6" t="s">
        <v>1</v>
      </c>
      <c r="D7" s="6" t="s">
        <v>23</v>
      </c>
      <c r="E7" s="7">
        <v>150</v>
      </c>
      <c r="F7" s="7">
        <v>79.7</v>
      </c>
      <c r="G7" s="7">
        <v>17</v>
      </c>
      <c r="H7" s="7">
        <f t="shared" si="0"/>
        <v>11972</v>
      </c>
      <c r="I7" s="7">
        <f t="shared" si="1"/>
        <v>79.81</v>
      </c>
      <c r="K7" s="3">
        <v>2330</v>
      </c>
      <c r="L7" s="3" t="s">
        <v>14</v>
      </c>
      <c r="M7" s="7">
        <v>32</v>
      </c>
    </row>
    <row r="8" spans="1:15">
      <c r="B8" s="5">
        <v>46085</v>
      </c>
      <c r="C8" s="6" t="s">
        <v>1</v>
      </c>
      <c r="D8" s="6" t="s">
        <v>23</v>
      </c>
      <c r="E8" s="7">
        <v>50</v>
      </c>
      <c r="F8" s="7">
        <v>76.099999999999994</v>
      </c>
      <c r="G8" s="7">
        <v>5</v>
      </c>
      <c r="H8" s="7">
        <f t="shared" si="0"/>
        <v>3810</v>
      </c>
      <c r="I8" s="7">
        <f t="shared" si="1"/>
        <v>76.2</v>
      </c>
      <c r="K8" s="3">
        <v>2884</v>
      </c>
      <c r="L8" s="3" t="s">
        <v>15</v>
      </c>
      <c r="M8" s="7">
        <v>1067</v>
      </c>
    </row>
    <row r="9" spans="1:15">
      <c r="B9" s="5">
        <v>46090</v>
      </c>
      <c r="C9" s="6" t="s">
        <v>1</v>
      </c>
      <c r="D9" s="6" t="s">
        <v>23</v>
      </c>
      <c r="E9" s="7">
        <v>150</v>
      </c>
      <c r="F9" s="7">
        <v>73</v>
      </c>
      <c r="G9" s="7">
        <v>15</v>
      </c>
      <c r="H9" s="7">
        <f t="shared" si="0"/>
        <v>10965</v>
      </c>
      <c r="I9" s="7">
        <f t="shared" si="1"/>
        <v>73.099999999999994</v>
      </c>
      <c r="K9" s="3">
        <v>3037</v>
      </c>
      <c r="L9" s="3" t="s">
        <v>16</v>
      </c>
      <c r="M9" s="7">
        <v>100</v>
      </c>
    </row>
    <row r="10" spans="1:15">
      <c r="B10" s="5">
        <v>46113</v>
      </c>
      <c r="C10" s="6" t="s">
        <v>1</v>
      </c>
      <c r="D10" s="6" t="s">
        <v>23</v>
      </c>
      <c r="E10" s="7">
        <v>198</v>
      </c>
      <c r="F10" s="7">
        <v>75.45</v>
      </c>
      <c r="G10" s="7">
        <v>1</v>
      </c>
      <c r="H10" s="7">
        <f t="shared" si="0"/>
        <v>14940</v>
      </c>
      <c r="I10" s="7">
        <f t="shared" si="1"/>
        <v>75.45</v>
      </c>
      <c r="K10" s="3">
        <v>3481</v>
      </c>
      <c r="L10" s="3" t="s">
        <v>17</v>
      </c>
      <c r="M10" s="7">
        <v>2539</v>
      </c>
    </row>
    <row r="11" spans="1:15">
      <c r="K11" s="3">
        <v>3491</v>
      </c>
      <c r="L11" s="3" t="s">
        <v>18</v>
      </c>
      <c r="M11" s="7">
        <v>8</v>
      </c>
    </row>
    <row r="12" spans="1:15">
      <c r="A12" s="4" t="s">
        <v>2</v>
      </c>
      <c r="B12" s="5">
        <v>46056</v>
      </c>
      <c r="C12" s="6" t="s">
        <v>2</v>
      </c>
      <c r="D12" s="6" t="s">
        <v>24</v>
      </c>
      <c r="E12" s="7">
        <v>2000</v>
      </c>
      <c r="F12" s="7">
        <v>10.25</v>
      </c>
      <c r="G12" s="7">
        <v>29</v>
      </c>
      <c r="H12" s="7">
        <f t="shared" ref="H12:H14" si="2">ROUNDDOWN(E12*F12+G12,0)</f>
        <v>20529</v>
      </c>
      <c r="I12" s="7">
        <f t="shared" si="1"/>
        <v>10.26</v>
      </c>
      <c r="K12" s="3">
        <v>3508</v>
      </c>
      <c r="L12" s="3" t="s">
        <v>19</v>
      </c>
      <c r="M12" s="7">
        <v>3000</v>
      </c>
    </row>
    <row r="13" spans="1:15">
      <c r="B13" s="5">
        <v>46156</v>
      </c>
      <c r="C13" s="6" t="s">
        <v>2</v>
      </c>
      <c r="D13" s="6" t="s">
        <v>24</v>
      </c>
      <c r="E13" s="8">
        <v>1000</v>
      </c>
      <c r="F13" s="7">
        <v>14</v>
      </c>
      <c r="G13" s="7">
        <v>20</v>
      </c>
      <c r="H13" s="7">
        <f t="shared" si="2"/>
        <v>14020</v>
      </c>
      <c r="I13" s="7">
        <f t="shared" si="1"/>
        <v>14.02</v>
      </c>
      <c r="K13" s="3">
        <v>4523</v>
      </c>
      <c r="L13" s="3" t="s">
        <v>20</v>
      </c>
      <c r="M13" s="7">
        <v>1000</v>
      </c>
    </row>
    <row r="14" spans="1:15">
      <c r="B14" s="5">
        <v>46156</v>
      </c>
      <c r="C14" s="6" t="s">
        <v>2</v>
      </c>
      <c r="D14" s="6" t="s">
        <v>24</v>
      </c>
      <c r="E14" s="7">
        <v>1000</v>
      </c>
      <c r="F14" s="7">
        <v>13.9</v>
      </c>
      <c r="G14" s="7">
        <v>20</v>
      </c>
      <c r="H14" s="7">
        <f t="shared" si="2"/>
        <v>13920</v>
      </c>
      <c r="I14" s="7">
        <f t="shared" si="1"/>
        <v>13.92</v>
      </c>
      <c r="K14" s="3">
        <v>4958</v>
      </c>
      <c r="L14" s="3" t="s">
        <v>21</v>
      </c>
      <c r="M14" s="7">
        <v>500</v>
      </c>
    </row>
    <row r="15" spans="1:15">
      <c r="K15" s="3">
        <v>6640</v>
      </c>
      <c r="L15" s="3" t="s">
        <v>22</v>
      </c>
      <c r="M15" s="7">
        <v>6</v>
      </c>
    </row>
    <row r="16" spans="1:15">
      <c r="A16" s="9" t="s">
        <v>12</v>
      </c>
      <c r="B16" s="5">
        <v>46161</v>
      </c>
      <c r="C16" s="3">
        <v>2313</v>
      </c>
      <c r="D16" s="3" t="s">
        <v>3</v>
      </c>
      <c r="E16" s="7">
        <v>36</v>
      </c>
      <c r="F16" s="7">
        <v>272</v>
      </c>
      <c r="G16" s="7">
        <v>1</v>
      </c>
      <c r="H16" s="7">
        <f t="shared" ref="H16" si="3">ROUNDDOWN(E16*F16+G16,0)</f>
        <v>9793</v>
      </c>
      <c r="I16" s="7">
        <f t="shared" si="1"/>
        <v>272.02999999999997</v>
      </c>
    </row>
    <row r="19" spans="1:1">
      <c r="A19" s="9" t="s">
        <v>13</v>
      </c>
    </row>
    <row r="20" spans="1:1">
      <c r="A20" s="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0F43-AFEE-4CD4-8CE6-36D50B546B37}">
  <dimension ref="C3:F13"/>
  <sheetViews>
    <sheetView zoomScale="130" zoomScaleNormal="130" workbookViewId="0">
      <selection activeCell="H9" sqref="H9"/>
    </sheetView>
  </sheetViews>
  <sheetFormatPr defaultRowHeight="15"/>
  <cols>
    <col min="4" max="4" width="13.125" bestFit="1" customWidth="1"/>
  </cols>
  <sheetData>
    <row r="3" spans="3:6">
      <c r="C3" t="s">
        <v>0</v>
      </c>
      <c r="D3" t="s">
        <v>31</v>
      </c>
      <c r="E3" t="s">
        <v>32</v>
      </c>
      <c r="F3" t="s">
        <v>29</v>
      </c>
    </row>
    <row r="5" spans="3:6">
      <c r="D5" t="s">
        <v>30</v>
      </c>
      <c r="E5" t="s">
        <v>33</v>
      </c>
      <c r="F5">
        <v>30000</v>
      </c>
    </row>
    <row r="6" spans="3:6">
      <c r="D6" t="s">
        <v>30</v>
      </c>
      <c r="E6" t="s">
        <v>33</v>
      </c>
      <c r="F6">
        <v>30000</v>
      </c>
    </row>
    <row r="7" spans="3:6">
      <c r="D7" t="s">
        <v>30</v>
      </c>
      <c r="E7" t="s">
        <v>33</v>
      </c>
      <c r="F7">
        <v>30000</v>
      </c>
    </row>
    <row r="8" spans="3:6">
      <c r="D8" t="s">
        <v>30</v>
      </c>
      <c r="E8" t="s">
        <v>33</v>
      </c>
      <c r="F8">
        <v>30000</v>
      </c>
    </row>
    <row r="9" spans="3:6">
      <c r="D9" t="s">
        <v>30</v>
      </c>
      <c r="E9" t="s">
        <v>33</v>
      </c>
      <c r="F9">
        <v>10000</v>
      </c>
    </row>
    <row r="10" spans="3:6">
      <c r="D10" t="s">
        <v>34</v>
      </c>
      <c r="E10" t="s">
        <v>33</v>
      </c>
      <c r="F10">
        <v>10000</v>
      </c>
    </row>
    <row r="11" spans="3:6">
      <c r="D11" t="s">
        <v>34</v>
      </c>
      <c r="E11" t="s">
        <v>33</v>
      </c>
      <c r="F11">
        <v>20000</v>
      </c>
    </row>
    <row r="12" spans="3:6">
      <c r="D12" t="s">
        <v>34</v>
      </c>
      <c r="E12" t="s">
        <v>33</v>
      </c>
      <c r="F12">
        <v>50000</v>
      </c>
    </row>
    <row r="13" spans="3:6">
      <c r="D13" t="s">
        <v>34</v>
      </c>
      <c r="E13" t="s">
        <v>35</v>
      </c>
      <c r="F13">
        <v>-10000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4E0E-C303-4B2A-A34B-F8E0AA4577EF}">
  <dimension ref="A1"/>
  <sheetViews>
    <sheetView zoomScale="130" zoomScaleNormal="130" workbookViewId="0">
      <selection activeCell="G10" sqref="G10"/>
    </sheetView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既有</vt:lpstr>
      <vt:lpstr>自己操作-股票</vt:lpstr>
      <vt:lpstr>自己操作-基金</vt:lpstr>
      <vt:lpstr>儀錶板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Laptop</dc:creator>
  <cp:lastModifiedBy>陳柏妤</cp:lastModifiedBy>
  <dcterms:created xsi:type="dcterms:W3CDTF">2015-06-05T18:19:34Z</dcterms:created>
  <dcterms:modified xsi:type="dcterms:W3CDTF">2026-05-24T14:33:57Z</dcterms:modified>
</cp:coreProperties>
</file>